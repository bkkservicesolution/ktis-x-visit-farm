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thakritBamrungwon\Downloads\"/>
    </mc:Choice>
  </mc:AlternateContent>
  <xr:revisionPtr revIDLastSave="0" documentId="8_{9FAE6515-6721-435B-8E6C-4841BFC92689}" xr6:coauthVersionLast="47" xr6:coauthVersionMax="47" xr10:uidLastSave="{00000000-0000-0000-0000-000000000000}"/>
  <bookViews>
    <workbookView xWindow="-108" yWindow="-108" windowWidth="23256" windowHeight="13896" xr2:uid="{0075149D-2249-43B1-A353-FA8BA1999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7" i="1"/>
  <c r="D6" i="1"/>
  <c r="C6" i="1"/>
  <c r="B6" i="1"/>
  <c r="E5" i="1"/>
  <c r="E6" i="1" s="1"/>
  <c r="E4" i="1"/>
  <c r="E3" i="1"/>
  <c r="E2" i="1"/>
</calcChain>
</file>

<file path=xl/sharedStrings.xml><?xml version="1.0" encoding="utf-8"?>
<sst xmlns="http://schemas.openxmlformats.org/spreadsheetml/2006/main" count="19" uniqueCount="16">
  <si>
    <t>K=KTIS</t>
  </si>
  <si>
    <t>T=TIS</t>
  </si>
  <si>
    <t>R=KTIS3</t>
  </si>
  <si>
    <t>Total/AVG</t>
  </si>
  <si>
    <t>พื้นที่ทั้งหมด</t>
  </si>
  <si>
    <t>ประมาณอ้อยสะสม</t>
  </si>
  <si>
    <t>อ้อยสด</t>
  </si>
  <si>
    <t>อ้อยไฟไหม้</t>
  </si>
  <si>
    <t>%อ้อยไฟไหม้</t>
  </si>
  <si>
    <t>CCS</t>
  </si>
  <si>
    <t>จำนวนรถสะสม</t>
  </si>
  <si>
    <t>หน่วย</t>
  </si>
  <si>
    <t>ไร่</t>
  </si>
  <si>
    <t>ตัน</t>
  </si>
  <si>
    <t>ร้อยละ</t>
  </si>
  <si>
    <t>คัน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</si>
</sst>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2" borderId="1" xfId="1" applyNumberFormat="1" applyFont="1" applyFill="1" applyBorder="1" applyAlignment="1">
      <alignment horizontal="center"/>
    </xf>
    <xf numFmtId="164" fontId="0" fillId="0" borderId="1" xfId="1" applyNumberFormat="1" applyFont="1" applyBorder="1"/>
    <xf numFmtId="164" fontId="0" fillId="3" borderId="1" xfId="1" applyNumberFormat="1" applyFont="1" applyFill="1" applyBorder="1"/>
    <xf numFmtId="10" fontId="0" fillId="0" borderId="1" xfId="2" applyNumberFormat="1" applyFont="1" applyBorder="1"/>
    <xf numFmtId="43" fontId="0" fillId="0" borderId="1" xfId="1" applyFont="1" applyBorder="1"/>
    <xf numFmtId="164" fontId="0" fillId="2" borderId="2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8032-43D4-42B4-B90E-BB397E1FC4D0}">
  <dimension ref="A1:F8"/>
  <sheetViews>
    <sheetView tabSelected="1" workbookViewId="0">
      <selection activeCell="J15" sqref="J15"/>
    </sheetView>
  </sheetViews>
  <sheetFormatPr defaultRowHeight="14.4" x14ac:dyDescent="0.3"/>
  <cols>
    <col min="1" max="1" width="16.109375" bestFit="1" customWidth="1"/>
    <col min="2" max="5" width="10.21875" bestFit="1" customWidth="1"/>
  </cols>
  <sheetData>
    <row r="1" spans="1: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7" t="s">
        <v>11</v>
      </c>
    </row>
    <row r="2" spans="1:6" x14ac:dyDescent="0.3">
      <c r="A2" s="1" t="s">
        <v>4</v>
      </c>
      <c r="B2" s="3">
        <v>528864</v>
      </c>
      <c r="C2" s="3">
        <v>191338</v>
      </c>
      <c r="D2" s="3">
        <v>203265</v>
      </c>
      <c r="E2" s="3">
        <f>SUM(B2:D2)</f>
        <v>923467</v>
      </c>
      <c r="F2" t="s">
        <v>12</v>
      </c>
    </row>
    <row r="3" spans="1:6" x14ac:dyDescent="0.3">
      <c r="A3" s="1" t="s">
        <v>5</v>
      </c>
      <c r="B3" s="4">
        <v>4649167</v>
      </c>
      <c r="C3" s="4">
        <v>1345325</v>
      </c>
      <c r="D3" s="4">
        <v>1417609</v>
      </c>
      <c r="E3" s="3">
        <f t="shared" ref="E3:E5" si="0">SUM(B3:D3)</f>
        <v>7412101</v>
      </c>
      <c r="F3" t="s">
        <v>13</v>
      </c>
    </row>
    <row r="4" spans="1:6" x14ac:dyDescent="0.3">
      <c r="A4" s="1" t="s">
        <v>6</v>
      </c>
      <c r="B4" s="3">
        <v>4304387</v>
      </c>
      <c r="C4" s="3">
        <v>1277242</v>
      </c>
      <c r="D4" s="3">
        <v>1405439</v>
      </c>
      <c r="E4" s="3">
        <f t="shared" si="0"/>
        <v>6987068</v>
      </c>
      <c r="F4" t="s">
        <v>13</v>
      </c>
    </row>
    <row r="5" spans="1:6" x14ac:dyDescent="0.3">
      <c r="A5" s="1" t="s">
        <v>7</v>
      </c>
      <c r="B5" s="3">
        <v>344779</v>
      </c>
      <c r="C5" s="3">
        <v>68082</v>
      </c>
      <c r="D5" s="3">
        <v>12170</v>
      </c>
      <c r="E5" s="3">
        <f t="shared" si="0"/>
        <v>425031</v>
      </c>
      <c r="F5" t="s">
        <v>13</v>
      </c>
    </row>
    <row r="6" spans="1:6" x14ac:dyDescent="0.3">
      <c r="A6" s="1" t="s">
        <v>8</v>
      </c>
      <c r="B6" s="5">
        <f>B5/B3</f>
        <v>7.415930638757437E-2</v>
      </c>
      <c r="C6" s="5">
        <f t="shared" ref="C6:E6" si="1">C5/C3</f>
        <v>5.0606359058220134E-2</v>
      </c>
      <c r="D6" s="5">
        <f t="shared" si="1"/>
        <v>8.5848777765942519E-3</v>
      </c>
      <c r="E6" s="5">
        <f t="shared" si="1"/>
        <v>5.7342850562883588E-2</v>
      </c>
      <c r="F6" t="s">
        <v>14</v>
      </c>
    </row>
    <row r="7" spans="1:6" x14ac:dyDescent="0.3">
      <c r="A7" s="1" t="s">
        <v>9</v>
      </c>
      <c r="B7" s="6">
        <v>12.59</v>
      </c>
      <c r="C7" s="6">
        <v>12.06</v>
      </c>
      <c r="D7" s="6">
        <v>12.8</v>
      </c>
      <c r="E7" s="6">
        <f>AVERAGE(B7:D7)</f>
        <v>12.483333333333334</v>
      </c>
      <c r="F7" t="s">
        <v>9</v>
      </c>
    </row>
    <row r="8" spans="1:6" x14ac:dyDescent="0.3">
      <c r="A8" s="1" t="s">
        <v>10</v>
      </c>
      <c r="B8" s="3">
        <v>197606</v>
      </c>
      <c r="C8" s="3">
        <v>63075</v>
      </c>
      <c r="D8" s="3">
        <v>61543</v>
      </c>
      <c r="E8" s="3">
        <f>SUM(B8:D8)</f>
        <v>322224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Natthakrit Bamrungwong (แบงค์ ณัฐกฤษณ์ บำรุงวงศ์)</dc:creator>
  <cp:lastModifiedBy>Natthakrit Bamrungwong (แบงค์ ณัฐกฤษณ์ บำรุงวงศ์)</cp:lastModifiedBy>
  <dcterms:created xsi:type="dcterms:W3CDTF">2026-05-27T03:21:16Z</dcterms:created>
  <dcterms:modified xsi:type="dcterms:W3CDTF">2026-05-27T08:52:22Z</dcterms:modified>
</cp:coreProperties>
</file>